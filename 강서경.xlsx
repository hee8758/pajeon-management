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969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5080" windowHeight="11760"/>
  </x:bookViews>
  <x:sheets>
    <x:sheet name="출근 및 시간외 근무일지" sheetId="1" r:id="rId4"/>
  </x:sheets>
  <x:definedNames>
    <x:definedName name="_xlnm.Print_Area">#REF!</x:definedName>
    <x:definedName name="_xlnm.Print_Area" localSheetId="0">'출근 및 시간외 근무일지'!$B$2:$K$41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<x:sst xmlns:r="http://schemas.openxmlformats.org/officeDocument/2006/relationships" xmlns:c="http://schemas.openxmlformats.org/drawingml/2006/chart" xmlns:x="http://schemas.openxmlformats.org/spreadsheetml/2006/main" count="177" uniqueCount="76">
  <x:si>
    <x:t>순번</x:t>
  </x:si>
  <x:si>
    <x:t>평일</x:t>
  </x:si>
  <x:si>
    <x:t>야퇴</x:t>
  </x:si>
  <x:si>
    <x:t>월</x:t>
  </x:si>
  <x:si>
    <x:t>팀장</x:t>
  </x:si>
  <x:si>
    <x:t>스AM</x:t>
  </x:si>
  <x:si>
    <x:t/>
  </x:si>
  <x:si>
    <x:t>삼일절</x:t>
  </x:si>
  <x:si>
    <x:t>휴가</x:t>
  </x:si>
  <x:si>
    <x:t xml:space="preserve"> </x:t>
  </x:si>
  <x:si>
    <x:t>X</x:t>
  </x:si>
  <x:si>
    <x:t>출근자</x:t>
  </x:si>
  <x:si>
    <x:t>형태</x:t>
  </x:si>
  <x:si>
    <x:t>부서장</x:t>
  </x:si>
  <x:si>
    <x:t>-</x:t>
  </x:si>
  <x:si>
    <x:t>평</x:t>
  </x:si>
  <x:si>
    <x:t>이름</x:t>
  </x:si>
  <x:si>
    <x:t>휴일</x:t>
  </x:si>
  <x:si>
    <x:t>시간외</x:t>
  </x:si>
  <x:si>
    <x:t>모닝인</x:t>
  </x:si>
  <x:si>
    <x:t>야근</x:t>
  </x:si>
  <x:si>
    <x:t>연도</x:t>
  </x:si>
  <x:si>
    <x:t>강서경</x:t>
  </x:si>
  <x:si>
    <x:t>결재</x:t>
  </x:si>
  <x:si>
    <x:t>스</x:t>
  </x:si>
  <x:si>
    <x:t xml:space="preserve">  2020년 ( 03 )월 출근 및 시간외 근무일지</x:t>
  </x:si>
  <x:si>
    <x:t>피플씨엔에스</x:t>
  </x:si>
  <x:si>
    <x:t>근무요일 / 시간</x:t>
  </x:si>
  <x:si>
    <x:t>뉴스영상콘텐츠부 / 김선화</x:t>
  </x:si>
  <x:si>
    <x:t>뉴스영상콘텐츠부 / 이원</x:t>
  </x:si>
  <x:si>
    <x:t>뉴스영상콘텐츠부 / 김학겸</x:t>
  </x:si>
  <x:si>
    <x:t>뉴스영상콘텐츠부 / 박려원</x:t>
  </x:si>
  <x:si>
    <x:t>뉴스영상콘텐츠부 / 조수빈</x:t>
  </x:si>
  <x:si>
    <x:t>뉴스영상콘텐츠부 / 남유림</x:t>
  </x:si>
  <x:si>
    <x:t>11:00 ~ 22:00</x:t>
  </x:si>
  <x:si>
    <x:t>뉴스영상콘텐츠부 / 김정윤</x:t>
  </x:si>
  <x:si>
    <x:t>뉴스영상콘텐츠부 / 백수아</x:t>
  </x:si>
  <x:si>
    <x:t>뉴스영상콘텐츠부 / 박민정</x:t>
  </x:si>
  <x:si>
    <x:t>20:00 ~ (D+1)09:00</x:t>
  </x:si>
  <x:si>
    <x:t>일 자 (요 일)</x:t>
  </x:si>
  <x:si>
    <x:t>근무부서 / 성명</x:t>
  </x:si>
  <x:si>
    <x:t>뉴스영상콘텐츠부 / 권예지</x:t>
  </x:si>
  <x:si>
    <x:t>11:00 ~ 20:00</x:t>
  </x:si>
  <x:si>
    <x:t>09:00 ~ 20:00</x:t>
  </x:si>
  <x:si>
    <x:t>뉴스영상콘텐츠부 / 이소현</x:t>
  </x:si>
  <x:si>
    <x:t>뉴스영상콘텐츠부 / 임민영</x:t>
  </x:si>
  <x:si>
    <x:t>내   용
(휴가 등)</x:t>
  </x:si>
  <x:si>
    <x:t>뉴스영상콘텐츠부 / 박재은</x:t>
  </x:si>
  <x:si>
    <x:t>14:00 ~ 22:00</x:t>
  </x:si>
  <x:si>
    <x:t>09:00 ~ 18:00</x:t>
  </x:si>
  <x:si>
    <x:t>근무시간</x:t>
  </x:si>
  <x:si>
    <x:t>출근 시간</x:t>
  </x:si>
  <x:si>
    <x:t>기스템프</x:t>
  </x:si>
  <x:si>
    <x:t>크릭앤리버</x:t>
  </x:si>
  <x:si>
    <x:t>창립기념일</x:t>
  </x:si>
  <x:si>
    <x:t>키스템프</x:t>
  </x:si>
  <x:si>
    <x:t>종업시간</x:t>
  </x:si>
  <x:si>
    <x:t>대체공휴일</x:t>
  </x:si>
  <x:si>
    <x:t>AM☀️</x:t>
  </x:si>
  <x:si>
    <x:t>소속업체</x:t>
  </x:si>
  <x:si>
    <x:t>출근시각</x:t>
  </x:si>
  <x:si>
    <x:t>시사AM</x:t>
  </x:si>
  <x:si>
    <x:t>PM🌙</x:t>
  </x:si>
  <x:si>
    <x:t>비  고</x:t>
  </x:si>
  <x:si>
    <x:t>출퇴근시각</x:t>
  </x:si>
  <x:si>
    <x:t>소 속 업 체</x:t>
  </x:si>
  <x:si>
    <x:t>MJ 플렉스</x:t>
  </x:si>
  <x:si>
    <x:t>근무표 복붙</x:t>
  </x:si>
  <x:si>
    <x:t>시차제근무</x:t>
  </x:si>
  <x:si>
    <x:t>KBS시큐리티</x:t>
  </x:si>
  <x:si>
    <x:t>프리머스HR</x:t>
  </x:si>
  <x:si>
    <x:t>시업시간</x:t>
  </x:si>
  <x:si>
    <x:t>휴 / 평</x:t>
  </x:si>
  <x:si>
    <x:t>합  계</x:t>
  </x:si>
  <x:si>
    <x:t>뉴스영상콘텐츠부 / 문세훈</x:t>
  </x:si>
  <x:si>
    <x:t>뉴스영상콘텐츠부 / 강서경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</x:si>
</x:sst>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00\:00"/>
    <x:numFmt numFmtId="165" formatCode="\(\ aaa\ \)"/>
    <x:numFmt numFmtId="166" formatCode="dd"/>
    <x:numFmt numFmtId="167" formatCode="\ \ yyyy&quot;년&quot;\ \(\ mm\ \)&quot;월&quot;\ &quot;출&quot;&quot;근&quot;\ &quot;및&quot;\ &quot;시&quot;&quot;간&quot;&quot;외&quot;\ &quot;근&quot;&quot;무&quot;&quot;일&quot;&quot;지&quot;"/>
  </x:numFmts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9c0006"/>
    </x:font>
    <x:font>
      <x:name val="돋움"/>
      <x:sz val="11"/>
      <x:color rgb="ff000000"/>
    </x:font>
    <x:font>
      <x:name val="맑은 고딕"/>
      <x:sz val="16"/>
      <x:color rgb="ff000000"/>
      <x:b val="1"/>
    </x:font>
    <x:font>
      <x:name val="맑은 고딕"/>
      <x:sz val="16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한컴 윤고딕 760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한컴 윤고딕 760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윤고딕 760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한컴 윤고딕 760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x:b val="1"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윤고딕 250"/>
          <x:sz val="2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한컴 윤고딕 250"/>
          <x:sz val="2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윤고딕 250"/>
          <x:sz val="24"/>
          <x:color rgb="ff1a1a1a"/>
          <x:b val="1"/>
          <hs:size val="100"/>
          <hs:ratio val="100"/>
          <hs:spacing val="0"/>
          <hs:offset val="0"/>
        </x:font>
      </mc:Choice>
      <mc:Fallback>
        <x:font>
          <x:name val="한컴 윤고딕 250"/>
          <x:sz val="24"/>
          <x:color rgb="ff1a1a1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윤고딕 250"/>
          <x:sz val="24"/>
          <x:color rgb="ff1a1a1a"/>
          <hs:size val="100"/>
          <hs:ratio val="100"/>
          <hs:spacing val="0"/>
          <hs:offset val="0"/>
        </x:font>
      </mc:Choice>
      <mc:Fallback>
        <x:font>
          <x:name val="한컴 윤고딕 250"/>
          <x:sz val="24"/>
          <x:color rgb="ff1a1a1a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ffc7ce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d2e9"/>
        <x:bgColor indexed="64"/>
      </x:patternFill>
    </x:fill>
    <x:fill>
      <x:patternFill patternType="solid">
        <x:fgColor rgb="fff4cccc"/>
        <x:bgColor indexed="64"/>
      </x:patternFill>
    </x:fill>
  </x:fills>
  <x:borders count="5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rgb="ff000000"/>
      </x:left>
      <x:right>
        <x:color indexed="64"/>
      </x:right>
      <x:top style="medium">
        <x:color rgb="ff000000"/>
      </x:top>
      <x:bottom>
        <x:color indexed="64"/>
      </x:bottom>
    </x:border>
    <x:border>
      <x:left style="medium">
        <x:color rgb="ffcccccc"/>
      </x:left>
      <x:right>
        <x:color indexed="64"/>
      </x:right>
      <x:top style="medium">
        <x:color rgb="ff000000"/>
      </x:top>
      <x:bottom>
        <x:color indexed="64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>
        <x:color indexed="64"/>
      </x:right>
      <x:top style="medium">
        <x:color rgb="ffcccccc"/>
      </x:top>
      <x:bottom>
        <x:color indexed="64"/>
      </x:bottom>
    </x:border>
    <x:border>
      <x:left style="medium">
        <x:color rgb="ffcccccc"/>
      </x:left>
      <x:right>
        <x:color indexed="64"/>
      </x:right>
      <x:top style="medium">
        <x:color rgb="ffcccccc"/>
      </x:top>
      <x:bottom>
        <x:color indexed="64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>
        <x:color indexed="64"/>
      </x:bottom>
    </x:border>
    <x:border>
      <x:left style="medium">
        <x:color rgb="ff000000"/>
      </x:left>
      <x:right>
        <x:color indexed="64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>
        <x:color indexed="64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medium">
        <x:color rgb="ffc0c0c0"/>
      </x:left>
      <x:right style="medium">
        <x:color rgb="ffc0c0c0"/>
      </x:right>
      <x:top style="medium">
        <x:color rgb="ffc0c0c0"/>
      </x:top>
      <x:bottom style="medium">
        <x:color rgb="ffc0c0c0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</x:borders>
  <x:cellStyleXfs count="15">
    <x:xf numFmtId="0" fontId="0" fillId="0" borderId="0">
      <x:alignment horizontal="general" vertical="center"/>
    </x:xf>
    <x:xf numFmtId="0" fontId="6" fillId="2" borderId="0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  <x:xf numFmtId="0" fontId="7" fillId="0" borderId="0" applyNumberFormat="1" applyFill="1" applyBorder="1" applyAlignment="1" applyProtection="1">
      <x:alignment horizontal="general" vertical="center"/>
    </x:xf>
  </x:cellStyleXfs>
  <x:cellXfs count="114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3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3" xfId="0" applyNumberFormat="1" applyFont="1" applyFill="1" applyBorder="1" applyAlignment="1">
          <x:alignment horizontal="center" vertical="center"/>
        </x:xf>
      </mc:Fallback>
    </mc:AlternateContent>
    <x:xf numFmtId="0" fontId="0" fillId="3" borderId="0" xfId="0" applyNumberForma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5" fillId="3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7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7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1" xfId="0" applyNumberFormat="1" applyFill="1" applyBorder="1" applyAlignment="1" hs:applyExtension="1">
          <x:alignment horizontal="center" vertical="center" textRotation="255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1" xfId="0" applyNumberFormat="1" applyFill="1" applyBorder="1" applyAlignment="1">
          <x:alignment horizontal="center" vertical="center" textRotation="255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2" xfId="0" applyNumberFormat="1" applyFill="1" applyBorder="1" applyAlignment="1" hs:applyExtension="1">
          <x:alignment horizontal="center" vertical="center" textRotation="255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2" xfId="0" applyNumberFormat="1" applyFill="1" applyBorder="1" applyAlignment="1">
          <x:alignment horizontal="center" vertical="center" textRotation="255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3" xfId="0" applyNumberFormat="1" applyFill="1" applyBorder="1" applyAlignment="1" hs:applyExtension="1">
          <x:alignment horizontal="center" vertical="center" textRotation="255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3" xfId="0" applyNumberFormat="1" applyFill="1" applyBorder="1" applyAlignment="1">
          <x:alignment horizontal="center" vertical="center" textRotation="255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7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7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1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1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6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6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9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3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3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4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4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5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5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6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6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7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7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51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51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5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5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Border="1" applyAlignment="1">
          <x:alignment horizontal="center" vertical="center"/>
        </x:xf>
      </mc:Fallback>
    </mc:AlternateContent>
  </x:cellXfs>
  <x:cellStyles count="2">
    <x:cellStyle xfId="0" builtinId="0"/>
    <x:cellStyle name="나쁨" xfId="1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bfbfbf"/>
        </x:patternFill>
      </x:fill>
    </x:dxf>
    <x:dxf>
      <x:fill>
        <x:patternFill patternType="solid">
          <x:fgColor indexed="65"/>
          <x:bgColor rgb="ffbfbfbf"/>
        </x:patternFill>
      </x:fill>
    </x:dxf>
    <x:dxf>
      <x:fill>
        <x:patternFill patternType="solid">
          <x:fgColor indexed="65"/>
          <x:bgColor rgb="ffbfbfbf"/>
        </x:patternFill>
      </x:fill>
    </x:dxf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16</xdr:col>
      <xdr:colOff>247649</xdr:colOff>
      <xdr:row>9</xdr:row>
      <xdr:rowOff>0</xdr:rowOff>
    </xdr:from>
    <xdr:to>
      <xdr:col>23</xdr:col>
      <xdr:colOff>447675</xdr:colOff>
      <xdr:row>32</xdr:row>
      <xdr:rowOff>76200</xdr:rowOff>
    </xdr:to>
    <xdr:sp fLocksText="1" fPublished="0">
      <xdr:nvSpPr>
        <xdr:cNvPr id="7" name="직사각형 7"/>
        <xdr:cNvSpPr>
          <a:spLocks noRot="1"/>
        </xdr:cNvSpPr>
      </xdr:nvSpPr>
      <xdr:spPr>
        <a:xfrm>
          <a:off x="9919607" y="2231571"/>
          <a:ext cx="4966607" cy="5715000"/>
        </a:xfrm>
        <a:prstGeom prst="rect">
          <a:avLst/>
        </a:prstGeom>
        <a:solidFill>
          <a:srgbClr val="fff3d0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000000"/>
              </a:solidFill>
              <a:latin typeface="한컴 윤고딕 250"/>
              <a:ea typeface="한컴 윤고딕 250"/>
              <a:cs typeface="돋움"/>
            </a:rPr>
            <a:t>1. 오른쪽 표, 이름과 소속업체 입력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000000"/>
              </a:solidFill>
              <a:latin typeface="한컴 윤고딕 250"/>
              <a:ea typeface="한컴 윤고딕 250"/>
              <a:cs typeface="돋움"/>
            </a:rPr>
            <a:t>2. 연도, 월, 순번 입력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000000"/>
              </a:solidFill>
              <a:latin typeface="한컴 윤고딕 250"/>
              <a:ea typeface="한컴 윤고딕 250"/>
              <a:cs typeface="돋움"/>
            </a:rPr>
            <a:t>3. 근무일지 내 비고란에 '휴일' 입력</a:t>
          </a:r>
        </a:p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1a1a1a"/>
              </a:solidFill>
              <a:latin typeface="한컴 윤고딕 250"/>
              <a:ea typeface="한컴 윤고딕 250"/>
              <a:cs typeface="돋움"/>
            </a:rPr>
            <a:t>  </a:t>
          </a:r>
          <a:r>
            <a:rPr lang="ko-KR" altLang="en-US" sz="2400">
              <a:solidFill>
                <a:srgbClr val="1a1a1a"/>
              </a:solidFill>
              <a:latin typeface="한컴 윤고딕 250"/>
              <a:ea typeface="한컴 윤고딕 250"/>
              <a:cs typeface="돋움"/>
            </a:rPr>
            <a:t>ex) 임시공휴일, 추석, 설날, 크리스마스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000000"/>
              </a:solidFill>
              <a:latin typeface="한컴 윤고딕 250"/>
              <a:ea typeface="한컴 윤고딕 250"/>
              <a:cs typeface="돋움"/>
            </a:rPr>
            <a:t>4. 구글 근무표 [근무표 복붙] 란에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2400" b="1">
              <a:solidFill>
                <a:srgbClr val="000000"/>
              </a:solidFill>
              <a:latin typeface="한컴 윤고딕 250"/>
              <a:ea typeface="한컴 윤고딕 250"/>
              <a:cs typeface="돋움"/>
            </a:rPr>
            <a:t>    복붙하기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B2:AG45"/>
  <x:sheetViews>
    <x:sheetView tabSelected="1" topLeftCell="B4" zoomScale="70" zoomScaleNormal="70" zoomScaleSheetLayoutView="75" workbookViewId="0">
      <x:selection activeCell="I18" activeCellId="0" sqref="I18:J18"/>
    </x:sheetView>
  </x:sheetViews>
  <x:sheetFormatPr defaultColWidth="9" defaultRowHeight="16.399999999999999"/>
  <x:cols>
    <x:col min="1" max="1" width="2.625" style="2" customWidth="1"/>
    <x:col min="2" max="2" width="6.625" style="2" customWidth="1"/>
    <x:col min="3" max="3" width="7.375" style="3" customWidth="1"/>
    <x:col min="4" max="5" width="16.5" style="3" customWidth="1"/>
    <x:col min="6" max="6" width="1.25" style="2" customWidth="1"/>
    <x:col min="7" max="7" width="6.25" style="2" customWidth="1"/>
    <x:col min="8" max="8" width="6" style="3" customWidth="1"/>
    <x:col min="9" max="9" width="4.625" style="3" customWidth="1"/>
    <x:col min="10" max="11" width="10.75" style="3" customWidth="1"/>
    <x:col min="12" max="12" width="0.125" style="2" customWidth="1"/>
    <x:col min="13" max="13" width="9" style="2"/>
    <x:col min="14" max="14" width="11.25" style="2" bestFit="1" customWidth="1"/>
    <x:col min="15" max="15" width="9" style="2" customWidth="1"/>
    <x:col min="16" max="16" width="8.4375" style="2" bestFit="1" customWidth="1"/>
    <x:col min="17" max="17" width="9" style="2" bestFit="1" customWidth="1"/>
    <x:col min="18" max="18" width="9" style="2"/>
    <x:col min="19" max="20" width="9" style="2" bestFit="1" customWidth="1"/>
    <x:col min="21" max="22" width="9" style="2"/>
    <x:col min="23" max="23" width="9" style="2" bestFit="1" customWidth="1"/>
    <x:col min="24" max="24" width="9" style="16" bestFit="1" customWidth="1"/>
    <x:col min="25" max="25" width="9" style="3" bestFit="1" customWidth="1"/>
    <x:col min="26" max="26" width="34.125" style="3" bestFit="1" customWidth="1"/>
    <x:col min="27" max="27" width="16.5625" style="3" bestFit="1" customWidth="1"/>
    <x:col min="28" max="28" width="11.4375" style="16" customWidth="1"/>
    <x:col min="29" max="32" width="9" style="16" bestFit="1" customWidth="1"/>
    <x:col min="33" max="33" width="23.875" style="3" customWidth="1"/>
    <x:col min="34" max="34" width="17.625" style="2" customWidth="1"/>
    <x:col min="35" max="16384" width="9" style="2"/>
  </x:cols>
  <x:sheetData>
    <x:row r="2" spans="2:11" ht="34.5" customHeight="1">
      <x:c r="B2" s="66">
        <x:f>B10</x:f>
        <x:v>46082</x:v>
      </x:c>
      <x:c r="C2" s="66" t="s">
        <x:v>25</x:v>
      </x:c>
      <x:c r="D2" s="66" t="s">
        <x:v>25</x:v>
      </x:c>
      <x:c r="E2" s="66" t="s">
        <x:v>25</x:v>
      </x:c>
      <x:c r="F2" s="66" t="s">
        <x:v>25</x:v>
      </x:c>
      <x:c r="G2" s="66" t="s">
        <x:v>25</x:v>
      </x:c>
      <x:c r="H2" s="66" t="s">
        <x:v>25</x:v>
      </x:c>
      <x:c r="I2" s="66" t="s">
        <x:v>25</x:v>
      </x:c>
      <x:c r="J2" s="66" t="s">
        <x:v>25</x:v>
      </x:c>
      <x:c r="K2" s="66" t="s">
        <x:v>25</x:v>
      </x:c>
    </x:row>
    <x:row r="3" spans="2:11" ht="7.5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spans="2:16" ht="24" customHeight="1">
      <x:c r="B4" s="67" t="s">
        <x:v>65</x:v>
      </x:c>
      <x:c r="C4" s="68"/>
      <x:c r="D4" s="69" t="str">
        <x:f>LOOKUP($P$6,$Y$9:$Y$23,$AA$9:$AA$23)</x:f>
        <x:v>피플씨엔에스</x:v>
      </x:c>
      <x:c r="E4" s="70"/>
      <x:c r="G4" s="71" t="s">
        <x:v>23</x:v>
      </x:c>
      <x:c r="H4" s="74" t="s">
        <x:v>11</x:v>
      </x:c>
      <x:c r="I4" s="75"/>
      <x:c r="J4" s="8" t="s">
        <x:v>4</x:v>
      </x:c>
      <x:c r="K4" s="5" t="s">
        <x:v>13</x:v>
      </x:c>
      <x:c r="N4" s="59" t="s">
        <x:v>21</x:v>
      </x:c>
      <x:c r="O4" s="60"/>
      <x:c r="P4" s="41">
        <x:v>2026</x:v>
      </x:c>
    </x:row>
    <x:row r="5" spans="2:16" ht="24" customHeight="1">
      <x:c r="B5" s="76" t="s">
        <x:v>40</x:v>
      </x:c>
      <x:c r="C5" s="77"/>
      <x:c r="D5" s="78" t="str">
        <x:f>LOOKUP(P6,Y9:Y23,Z9:Z23)</x:f>
        <x:v>뉴스영상콘텐츠부 / 강서경</x:v>
      </x:c>
      <x:c r="E5" s="79"/>
      <x:c r="G5" s="72"/>
      <x:c r="H5" s="80" t="s">
        <x:v>22</x:v>
      </x:c>
      <x:c r="I5" s="81"/>
      <x:c r="J5" s="84"/>
      <x:c r="K5" s="86"/>
      <x:c r="N5" s="61" t="s">
        <x:v>3</x:v>
      </x:c>
      <x:c r="O5" s="62"/>
      <x:c r="P5" s="42">
        <x:v>3</x:v>
      </x:c>
    </x:row>
    <x:row r="6" spans="2:16" ht="24" customHeight="1">
      <x:c r="B6" s="88" t="s">
        <x:v>27</x:v>
      </x:c>
      <x:c r="C6" s="89"/>
      <x:c r="D6" s="90" t="s">
        <x:v>68</x:v>
      </x:c>
      <x:c r="E6" s="91"/>
      <x:c r="G6" s="73"/>
      <x:c r="H6" s="82"/>
      <x:c r="I6" s="83"/>
      <x:c r="J6" s="85"/>
      <x:c r="K6" s="87"/>
      <x:c r="N6" s="63" t="s">
        <x:v>0</x:v>
      </x:c>
      <x:c r="O6" s="64"/>
      <x:c r="P6" s="43">
        <x:v>14</x:v>
      </x:c>
    </x:row>
    <x:row r="7" spans="11:11" ht="6.75" customHeight="1">
      <x:c r="K7" s="6"/>
    </x:row>
    <x:row r="8" spans="2:27" ht="20.25" customHeight="1">
      <x:c r="B8" s="92" t="s">
        <x:v>39</x:v>
      </x:c>
      <x:c r="C8" s="93"/>
      <x:c r="D8" s="96" t="s">
        <x:v>50</x:v>
      </x:c>
      <x:c r="E8" s="97"/>
      <x:c r="F8" s="98" t="s">
        <x:v>18</x:v>
      </x:c>
      <x:c r="G8" s="99"/>
      <x:c r="H8" s="100"/>
      <x:c r="I8" s="104" t="s">
        <x:v>46</x:v>
      </x:c>
      <x:c r="J8" s="100"/>
      <x:c r="K8" s="105" t="s">
        <x:v>63</x:v>
      </x:c>
      <x:c r="Y8" s="48" t="s">
        <x:v>0</x:v>
      </x:c>
      <x:c r="Z8" s="49" t="s">
        <x:v>16</x:v>
      </x:c>
      <x:c r="AA8" s="50" t="s">
        <x:v>59</x:v>
      </x:c>
    </x:row>
    <x:row r="9" spans="2:27" ht="20.25" customHeight="1">
      <x:c r="B9" s="94"/>
      <x:c r="C9" s="95"/>
      <x:c r="D9" s="7" t="s">
        <x:v>71</x:v>
      </x:c>
      <x:c r="E9" s="7" t="s">
        <x:v>56</x:v>
      </x:c>
      <x:c r="F9" s="101"/>
      <x:c r="G9" s="102"/>
      <x:c r="H9" s="103"/>
      <x:c r="I9" s="101"/>
      <x:c r="J9" s="103"/>
      <x:c r="K9" s="106"/>
      <x:c r="N9" s="25" t="s">
        <x:v>67</x:v>
      </x:c>
      <x:c r="O9" s="38" t="s">
        <x:v>72</x:v>
      </x:c>
      <x:c r="P9" s="40" t="s">
        <x:v>60</x:v>
      </x:c>
      <x:c r="Y9" s="51">
        <x:v>1</x:v>
      </x:c>
      <x:c r="Z9" s="52" t="s">
        <x:v>41</x:v>
      </x:c>
      <x:c r="AA9" s="53" t="s">
        <x:v>66</x:v>
      </x:c>
    </x:row>
    <x:row r="10" spans="2:27" ht="18.75" customHeight="1">
      <x:c r="B10" s="13">
        <x:f>DATE($P$4,$P$5,1)</x:f>
        <x:v>46082</x:v>
      </x:c>
      <x:c r="C10" s="12">
        <x:f t="shared" ref="C10:C40" si="0">B10</x:f>
        <x:v>46082</x:v>
      </x:c>
      <x:c r="D10" s="9"/>
      <x:c r="E10" s="9" t="str">
        <x:f>IF(AND(OR(WEEKDAY($C10,1)=1,WEEKDAY($C10,1)=7,ISBLANK($K10)=FALSE),OR($D10=900,$D10=1000,$D10=1100)),SUM($D10+1100),IF(AND(OR(WEEKDAY($C10,1)=2,WEEKDAY($C10,1)=3,WEEKDAY($C10,1)=4,WEEKDAY($C10,1)=5,WEEKDAY($C10,1)=6),OR($D10=900,$D10=1000,$D10=1100)),SUM($D10+900),IF(AND(OR(WEEKDAY($C10,1)=2,WEEKDAY($C10,1)=3,WEEKDAY($C10,1)=4,WEEKDAY($C10,1)=5,WEEKDAY($C10,1)=6),OR($D10=1400)),2200,IF($D10=2000,"익일 09:00",""))))</x:f>
        <x:v/>
      </x:c>
      <x:c r="F10" s="65"/>
      <x:c r="G10" s="65"/>
      <x:c r="H10" s="65"/>
      <x:c r="I10" s="107"/>
      <x:c r="J10" s="107"/>
      <x:c r="K10" s="14" t="s">
        <x:v>7</x:v>
      </x:c>
      <x:c r="L10" s="1"/>
      <x:c r="N10" s="30"/>
      <x:c r="O10" s="24" t="str">
        <x:f t="shared" ref="O10:O40" si="1">IF(OR(WEEKDAY($C10,1)=1,WEEKDAY($C10,1)=7,ISBLANK($K10)=FALSE),"휴일","평")</x:f>
        <x:v>휴일</x:v>
      </x:c>
      <x:c r="P10" s="44" t="e">
        <x:f t="shared" ref="P10:P40" si="2">IF(O10="평",VLOOKUP(N10,$Z$26:$AB$34,3,0),VLOOKUP(N10,$Z$35:$AB$42,3,0))</x:f>
        <x:v>#N/A</x:v>
      </x:c>
      <x:c r="R10" s="39"/>
      <x:c r="Y10" s="51">
        <x:v>2</x:v>
      </x:c>
      <x:c r="Z10" s="52" t="s">
        <x:v>35</x:v>
      </x:c>
      <x:c r="AA10" s="53" t="s">
        <x:v>66</x:v>
      </x:c>
    </x:row>
    <x:row r="11" spans="2:27" ht="18.75" customHeight="1">
      <x:c r="B11" s="13">
        <x:f t="shared" ref="B11:B40" si="3">IFERROR(IF(MONTH(B10+1)=$P$5,B10+1,""),"")</x:f>
        <x:v>46083</x:v>
      </x:c>
      <x:c r="C11" s="12">
        <x:f t="shared" si="0"/>
        <x:v>46083</x:v>
      </x:c>
      <x:c r="D11" s="9"/>
      <x:c r="E11" s="9"/>
      <x:c r="F11" s="65"/>
      <x:c r="G11" s="65"/>
      <x:c r="H11" s="65"/>
      <x:c r="I11" s="65"/>
      <x:c r="J11" s="65"/>
      <x:c r="K11" s="14" t="s">
        <x:v>57</x:v>
      </x:c>
      <x:c r="L11" s="1"/>
      <x:c r="N11" s="46"/>
      <x:c r="O11" s="23" t="str">
        <x:f t="shared" si="1"/>
        <x:v>휴일</x:v>
      </x:c>
      <x:c r="P11" s="45" t="e">
        <x:f t="shared" si="2"/>
        <x:v>#N/A</x:v>
      </x:c>
      <x:c r="Y11" s="51">
        <x:v>3</x:v>
      </x:c>
      <x:c r="Z11" s="52" t="s">
        <x:v>45</x:v>
      </x:c>
      <x:c r="AA11" s="53" t="s">
        <x:v>19</x:v>
      </x:c>
    </x:row>
    <x:row r="12" spans="2:27" ht="18.75" customHeight="1">
      <x:c r="B12" s="13">
        <x:f t="shared" si="3"/>
        <x:v>46084</x:v>
      </x:c>
      <x:c r="C12" s="12">
        <x:f t="shared" si="0"/>
        <x:v>46084</x:v>
      </x:c>
      <x:c r="D12" s="9"/>
      <x:c r="E12" s="9"/>
      <x:c r="F12" s="65"/>
      <x:c r="G12" s="65"/>
      <x:c r="H12" s="65"/>
      <x:c r="I12" s="65"/>
      <x:c r="J12" s="65"/>
      <x:c r="K12" s="14" t="s">
        <x:v>54</x:v>
      </x:c>
      <x:c r="L12" s="1"/>
      <x:c r="N12" s="46"/>
      <x:c r="O12" s="23" t="str">
        <x:f t="shared" si="1"/>
        <x:v>휴일</x:v>
      </x:c>
      <x:c r="P12" s="45" t="e">
        <x:f t="shared" si="2"/>
        <x:v>#N/A</x:v>
      </x:c>
      <x:c r="Y12" s="51">
        <x:v>4</x:v>
      </x:c>
      <x:c r="Z12" s="20" t="s">
        <x:v>44</x:v>
      </x:c>
      <x:c r="AA12" s="21" t="s">
        <x:v>69</x:v>
      </x:c>
    </x:row>
    <x:row r="13" spans="2:27" ht="18.75" customHeight="1">
      <x:c r="B13" s="13">
        <x:f t="shared" si="3"/>
        <x:v>46085</x:v>
      </x:c>
      <x:c r="C13" s="12">
        <x:f t="shared" si="0"/>
        <x:v>46085</x:v>
      </x:c>
      <x:c r="D13" s="9"/>
      <x:c r="E13" s="9"/>
      <x:c r="F13" s="65"/>
      <x:c r="G13" s="65"/>
      <x:c r="H13" s="65"/>
      <x:c r="I13" s="65"/>
      <x:c r="J13" s="65"/>
      <x:c r="K13" s="15"/>
      <x:c r="N13" s="46"/>
      <x:c r="O13" s="23" t="str">
        <x:f t="shared" si="1"/>
        <x:v>평</x:v>
      </x:c>
      <x:c r="P13" s="45" t="e">
        <x:f t="shared" si="2"/>
        <x:v>#N/A</x:v>
      </x:c>
      <x:c r="Y13" s="51">
        <x:v>5</x:v>
      </x:c>
      <x:c r="Z13" s="20" t="s">
        <x:v>29</x:v>
      </x:c>
      <x:c r="AA13" s="21" t="s">
        <x:v>55</x:v>
      </x:c>
    </x:row>
    <x:row r="14" spans="2:27" ht="18.75" customHeight="1">
      <x:c r="B14" s="13">
        <x:f t="shared" si="3"/>
        <x:v>46086</x:v>
      </x:c>
      <x:c r="C14" s="12">
        <x:f t="shared" si="0"/>
        <x:v>46086</x:v>
      </x:c>
      <x:c r="D14" s="9"/>
      <x:c r="E14" s="9"/>
      <x:c r="F14" s="65"/>
      <x:c r="G14" s="65"/>
      <x:c r="H14" s="65"/>
      <x:c r="I14" s="65"/>
      <x:c r="J14" s="65"/>
      <x:c r="K14" s="15"/>
      <x:c r="N14" s="46"/>
      <x:c r="O14" s="23" t="str">
        <x:f t="shared" si="1"/>
        <x:v>평</x:v>
      </x:c>
      <x:c r="P14" s="45" t="e">
        <x:f t="shared" si="2"/>
        <x:v>#N/A</x:v>
      </x:c>
      <x:c r="Y14" s="51">
        <x:v>6</x:v>
      </x:c>
      <x:c r="Z14" s="20" t="s">
        <x:v>37</x:v>
      </x:c>
      <x:c r="AA14" s="53" t="s">
        <x:v>70</x:v>
      </x:c>
    </x:row>
    <x:row r="15" spans="2:27" ht="18.75" customHeight="1">
      <x:c r="B15" s="13">
        <x:f t="shared" si="3"/>
        <x:v>46087</x:v>
      </x:c>
      <x:c r="C15" s="12">
        <x:f t="shared" si="0"/>
        <x:v>46087</x:v>
      </x:c>
      <x:c r="D15" s="9"/>
      <x:c r="E15" s="9"/>
      <x:c r="F15" s="65"/>
      <x:c r="G15" s="65"/>
      <x:c r="H15" s="65"/>
      <x:c r="I15" s="65"/>
      <x:c r="J15" s="65"/>
      <x:c r="K15" s="15"/>
      <x:c r="N15" s="46"/>
      <x:c r="O15" s="23" t="str">
        <x:f t="shared" si="1"/>
        <x:v>평</x:v>
      </x:c>
      <x:c r="P15" s="45" t="e">
        <x:f t="shared" si="2"/>
        <x:v>#N/A</x:v>
      </x:c>
      <x:c r="Y15" s="51">
        <x:v>7</x:v>
      </x:c>
      <x:c r="Z15" s="20" t="s">
        <x:v>28</x:v>
      </x:c>
      <x:c r="AA15" s="53" t="s">
        <x:v>52</x:v>
      </x:c>
    </x:row>
    <x:row r="16" spans="2:27" ht="18.75" customHeight="1">
      <x:c r="B16" s="13">
        <x:f t="shared" si="3"/>
        <x:v>46088</x:v>
      </x:c>
      <x:c r="C16" s="12">
        <x:f t="shared" si="0"/>
        <x:v>46088</x:v>
      </x:c>
      <x:c r="D16" s="9"/>
      <x:c r="E16" s="9"/>
      <x:c r="F16" s="65"/>
      <x:c r="G16" s="65"/>
      <x:c r="H16" s="65"/>
      <x:c r="I16" s="65"/>
      <x:c r="J16" s="65"/>
      <x:c r="K16" s="14"/>
      <x:c r="N16" s="46"/>
      <x:c r="O16" s="23" t="str">
        <x:f t="shared" si="1"/>
        <x:v>휴일</x:v>
      </x:c>
      <x:c r="P16" s="45" t="e">
        <x:f t="shared" si="2"/>
        <x:v>#N/A</x:v>
      </x:c>
      <x:c r="R16" s="2" t="s">
        <x:v>9</x:v>
      </x:c>
      <x:c r="Y16" s="51">
        <x:v>8</x:v>
      </x:c>
      <x:c r="Z16" s="52" t="s">
        <x:v>32</x:v>
      </x:c>
      <x:c r="AA16" s="53" t="s">
        <x:v>19</x:v>
      </x:c>
    </x:row>
    <x:row r="17" spans="2:27" ht="18.75" customHeight="1">
      <x:c r="B17" s="13">
        <x:f t="shared" si="3"/>
        <x:v>46089</x:v>
      </x:c>
      <x:c r="C17" s="12">
        <x:f t="shared" si="0"/>
        <x:v>46089</x:v>
      </x:c>
      <x:c r="D17" s="9"/>
      <x:c r="E17" s="9"/>
      <x:c r="F17" s="65"/>
      <x:c r="G17" s="65"/>
      <x:c r="H17" s="65"/>
      <x:c r="I17" s="65"/>
      <x:c r="J17" s="65"/>
      <x:c r="K17" s="15"/>
      <x:c r="N17" s="46"/>
      <x:c r="O17" s="23" t="str">
        <x:f t="shared" si="1"/>
        <x:v>휴일</x:v>
      </x:c>
      <x:c r="P17" s="45" t="e">
        <x:f t="shared" si="2"/>
        <x:v>#N/A</x:v>
      </x:c>
      <x:c r="Y17" s="51">
        <x:v>9</x:v>
      </x:c>
      <x:c r="Z17" s="20" t="s">
        <x:v>47</x:v>
      </x:c>
      <x:c r="AA17" s="21" t="s">
        <x:v>19</x:v>
      </x:c>
    </x:row>
    <x:row r="18" spans="2:27" ht="18.75" customHeight="1">
      <x:c r="B18" s="13">
        <x:f t="shared" si="3"/>
        <x:v>46090</x:v>
      </x:c>
      <x:c r="C18" s="12">
        <x:f t="shared" si="0"/>
        <x:v>46090</x:v>
      </x:c>
      <x:c r="D18" s="9"/>
      <x:c r="E18" s="9"/>
      <x:c r="F18" s="108"/>
      <x:c r="G18" s="65"/>
      <x:c r="H18" s="65"/>
      <x:c r="I18" s="65"/>
      <x:c r="J18" s="65"/>
      <x:c r="K18" s="15"/>
      <x:c r="N18" s="46"/>
      <x:c r="O18" s="23" t="str">
        <x:f t="shared" si="1"/>
        <x:v>평</x:v>
      </x:c>
      <x:c r="P18" s="45" t="e">
        <x:f t="shared" si="2"/>
        <x:v>#N/A</x:v>
      </x:c>
      <x:c r="Y18" s="51">
        <x:v>10</x:v>
      </x:c>
      <x:c r="Z18" s="20" t="s">
        <x:v>33</x:v>
      </x:c>
      <x:c r="AA18" s="21" t="s">
        <x:v>66</x:v>
      </x:c>
    </x:row>
    <x:row r="19" spans="2:27" ht="18.75" customHeight="1">
      <x:c r="B19" s="13">
        <x:f t="shared" si="3"/>
        <x:v>46091</x:v>
      </x:c>
      <x:c r="C19" s="12">
        <x:f t="shared" si="0"/>
        <x:v>46091</x:v>
      </x:c>
      <x:c r="D19" s="9"/>
      <x:c r="E19" s="9"/>
      <x:c r="F19" s="65"/>
      <x:c r="G19" s="65"/>
      <x:c r="H19" s="65"/>
      <x:c r="I19" s="65"/>
      <x:c r="J19" s="65"/>
      <x:c r="K19" s="15"/>
      <x:c r="N19" s="46"/>
      <x:c r="O19" s="23" t="str">
        <x:f t="shared" si="1"/>
        <x:v>평</x:v>
      </x:c>
      <x:c r="P19" s="45" t="e">
        <x:f t="shared" si="2"/>
        <x:v>#N/A</x:v>
      </x:c>
      <x:c r="Y19" s="51">
        <x:v>11</x:v>
      </x:c>
      <x:c r="Z19" s="20" t="s">
        <x:v>30</x:v>
      </x:c>
      <x:c r="AA19" s="53" t="s">
        <x:v>53</x:v>
      </x:c>
    </x:row>
    <x:row r="20" spans="2:27" ht="18.75" customHeight="1">
      <x:c r="B20" s="13">
        <x:f t="shared" si="3"/>
        <x:v>46092</x:v>
      </x:c>
      <x:c r="C20" s="12">
        <x:f t="shared" si="0"/>
        <x:v>46092</x:v>
      </x:c>
      <x:c r="D20" s="9"/>
      <x:c r="E20" s="9"/>
      <x:c r="F20" s="65"/>
      <x:c r="G20" s="65"/>
      <x:c r="H20" s="65"/>
      <x:c r="I20" s="65"/>
      <x:c r="J20" s="65"/>
      <x:c r="K20" s="15"/>
      <x:c r="N20" s="46"/>
      <x:c r="O20" s="23" t="str">
        <x:f t="shared" si="1"/>
        <x:v>평</x:v>
      </x:c>
      <x:c r="P20" s="45" t="e">
        <x:f t="shared" si="2"/>
        <x:v>#N/A</x:v>
      </x:c>
      <x:c r="S20" s="2" t="s">
        <x:v>9</x:v>
      </x:c>
      <x:c r="Y20" s="19">
        <x:v>12</x:v>
      </x:c>
      <x:c r="Z20" s="20" t="s">
        <x:v>31</x:v>
      </x:c>
      <x:c r="AA20" s="21" t="s">
        <x:v>69</x:v>
      </x:c>
    </x:row>
    <x:row r="21" spans="2:27" ht="18.75" customHeight="1">
      <x:c r="B21" s="13">
        <x:f t="shared" si="3"/>
        <x:v>46093</x:v>
      </x:c>
      <x:c r="C21" s="12">
        <x:f t="shared" si="0"/>
        <x:v>46093</x:v>
      </x:c>
      <x:c r="D21" s="9"/>
      <x:c r="E21" s="9"/>
      <x:c r="F21" s="65"/>
      <x:c r="G21" s="65"/>
      <x:c r="H21" s="65"/>
      <x:c r="I21" s="65"/>
      <x:c r="J21" s="65"/>
      <x:c r="K21" s="15"/>
      <x:c r="N21" s="46"/>
      <x:c r="O21" s="23" t="str">
        <x:f t="shared" si="1"/>
        <x:v>평</x:v>
      </x:c>
      <x:c r="P21" s="45" t="e">
        <x:f t="shared" si="2"/>
        <x:v>#N/A</x:v>
      </x:c>
      <x:c r="Y21" s="19">
        <x:v>13</x:v>
      </x:c>
      <x:c r="Z21" s="20" t="s">
        <x:v>36</x:v>
      </x:c>
      <x:c r="AA21" s="21" t="s">
        <x:v>66</x:v>
      </x:c>
    </x:row>
    <x:row r="22" spans="2:27" ht="18.75" customHeight="1">
      <x:c r="B22" s="13">
        <x:f t="shared" si="3"/>
        <x:v>46094</x:v>
      </x:c>
      <x:c r="C22" s="12">
        <x:f t="shared" si="0"/>
        <x:v>46094</x:v>
      </x:c>
      <x:c r="D22" s="9"/>
      <x:c r="E22" s="9"/>
      <x:c r="F22" s="65"/>
      <x:c r="G22" s="65"/>
      <x:c r="H22" s="65"/>
      <x:c r="I22" s="65"/>
      <x:c r="J22" s="65"/>
      <x:c r="K22" s="15"/>
      <x:c r="N22" s="46"/>
      <x:c r="O22" s="23" t="str">
        <x:f t="shared" si="1"/>
        <x:v>평</x:v>
      </x:c>
      <x:c r="P22" s="45" t="e">
        <x:f t="shared" si="2"/>
        <x:v>#N/A</x:v>
      </x:c>
      <x:c r="Y22" s="19">
        <x:v>14</x:v>
      </x:c>
      <x:c r="Z22" s="20" t="s">
        <x:v>75</x:v>
      </x:c>
      <x:c r="AA22" s="21" t="s">
        <x:v>26</x:v>
      </x:c>
    </x:row>
    <x:row r="23" spans="2:27" ht="18.75" customHeight="1">
      <x:c r="B23" s="13">
        <x:f t="shared" si="3"/>
        <x:v>46095</x:v>
      </x:c>
      <x:c r="C23" s="12">
        <x:f t="shared" si="0"/>
        <x:v>46095</x:v>
      </x:c>
      <x:c r="D23" s="9"/>
      <x:c r="E23" s="9"/>
      <x:c r="F23" s="65"/>
      <x:c r="G23" s="65"/>
      <x:c r="H23" s="65"/>
      <x:c r="I23" s="65"/>
      <x:c r="J23" s="65"/>
      <x:c r="K23" s="14"/>
      <x:c r="N23" s="46"/>
      <x:c r="O23" s="23" t="str">
        <x:f t="shared" si="1"/>
        <x:v>휴일</x:v>
      </x:c>
      <x:c r="P23" s="45" t="e">
        <x:f t="shared" si="2"/>
        <x:v>#N/A</x:v>
      </x:c>
      <x:c r="Y23" s="22">
        <x:v>15</x:v>
      </x:c>
      <x:c r="Z23" s="20" t="s">
        <x:v>74</x:v>
      </x:c>
      <x:c r="AA23" s="47" t="s">
        <x:v>55</x:v>
      </x:c>
    </x:row>
    <x:row r="24" spans="2:16" ht="18.75" customHeight="1">
      <x:c r="B24" s="13">
        <x:f t="shared" si="3"/>
        <x:v>46096</x:v>
      </x:c>
      <x:c r="C24" s="12">
        <x:f t="shared" si="0"/>
        <x:v>46096</x:v>
      </x:c>
      <x:c r="D24" s="9"/>
      <x:c r="E24" s="9"/>
      <x:c r="F24" s="65"/>
      <x:c r="G24" s="65"/>
      <x:c r="H24" s="65"/>
      <x:c r="I24" s="65"/>
      <x:c r="J24" s="65"/>
      <x:c r="K24" s="15"/>
      <x:c r="N24" s="46"/>
      <x:c r="O24" s="23" t="str">
        <x:f t="shared" si="1"/>
        <x:v>휴일</x:v>
      </x:c>
      <x:c r="P24" s="45" t="e">
        <x:f t="shared" si="2"/>
        <x:v>#N/A</x:v>
      </x:c>
    </x:row>
    <x:row r="25" spans="2:28" ht="18.75" customHeight="1">
      <x:c r="B25" s="13">
        <x:f t="shared" si="3"/>
        <x:v>46097</x:v>
      </x:c>
      <x:c r="C25" s="12">
        <x:f t="shared" si="0"/>
        <x:v>46097</x:v>
      </x:c>
      <x:c r="D25" s="9"/>
      <x:c r="E25" s="9"/>
      <x:c r="F25" s="65"/>
      <x:c r="G25" s="65"/>
      <x:c r="H25" s="65"/>
      <x:c r="I25" s="65"/>
      <x:c r="J25" s="65"/>
      <x:c r="K25" s="15"/>
      <x:c r="N25" s="46"/>
      <x:c r="O25" s="23" t="str">
        <x:f t="shared" si="1"/>
        <x:v>평</x:v>
      </x:c>
      <x:c r="P25" s="45" t="e">
        <x:f t="shared" si="2"/>
        <x:v>#N/A</x:v>
      </x:c>
      <x:c r="Y25" s="26"/>
      <x:c r="Z25" s="27" t="s">
        <x:v>12</x:v>
      </x:c>
      <x:c r="AA25" s="28" t="s">
        <x:v>64</x:v>
      </x:c>
      <x:c r="AB25" s="28" t="s">
        <x:v>51</x:v>
      </x:c>
    </x:row>
    <x:row r="26" spans="2:28" ht="18.75" customHeight="1">
      <x:c r="B26" s="13">
        <x:f t="shared" si="3"/>
        <x:v>46098</x:v>
      </x:c>
      <x:c r="C26" s="12">
        <x:f t="shared" si="0"/>
        <x:v>46098</x:v>
      </x:c>
      <x:c r="D26" s="9"/>
      <x:c r="E26" s="9"/>
      <x:c r="F26" s="65"/>
      <x:c r="G26" s="65"/>
      <x:c r="H26" s="65"/>
      <x:c r="I26" s="65"/>
      <x:c r="J26" s="65"/>
      <x:c r="K26" s="15"/>
      <x:c r="N26" s="46"/>
      <x:c r="O26" s="23" t="str">
        <x:f t="shared" si="1"/>
        <x:v>평</x:v>
      </x:c>
      <x:c r="P26" s="45" t="e">
        <x:f t="shared" si="2"/>
        <x:v>#N/A</x:v>
      </x:c>
      <x:c r="Y26" s="29" t="s">
        <x:v>1</x:v>
      </x:c>
      <x:c r="Z26" s="30" t="s">
        <x:v>58</x:v>
      </x:c>
      <x:c r="AA26" s="31" t="s">
        <x:v>49</x:v>
      </x:c>
      <x:c r="AB26" s="32">
        <x:v>900</x:v>
      </x:c>
    </x:row>
    <x:row r="27" spans="2:28" ht="18.75" customHeight="1">
      <x:c r="B27" s="13">
        <x:f t="shared" si="3"/>
        <x:v>46099</x:v>
      </x:c>
      <x:c r="C27" s="12">
        <x:f t="shared" si="0"/>
        <x:v>46099</x:v>
      </x:c>
      <x:c r="D27" s="9"/>
      <x:c r="E27" s="9"/>
      <x:c r="F27" s="65"/>
      <x:c r="G27" s="65"/>
      <x:c r="H27" s="65"/>
      <x:c r="I27" s="65"/>
      <x:c r="J27" s="65"/>
      <x:c r="K27" s="15"/>
      <x:c r="N27" s="46"/>
      <x:c r="O27" s="23" t="str">
        <x:f t="shared" si="1"/>
        <x:v>평</x:v>
      </x:c>
      <x:c r="P27" s="45" t="e">
        <x:f t="shared" si="2"/>
        <x:v>#N/A</x:v>
      </x:c>
      <x:c r="Y27" s="29" t="s">
        <x:v>1</x:v>
      </x:c>
      <x:c r="Z27" s="30">
        <x:v>11</x:v>
      </x:c>
      <x:c r="AA27" s="31" t="s">
        <x:v>42</x:v>
      </x:c>
      <x:c r="AB27" s="32">
        <x:v>1100</x:v>
      </x:c>
    </x:row>
    <x:row r="28" spans="2:28" ht="18.75" customHeight="1">
      <x:c r="B28" s="13">
        <x:f t="shared" si="3"/>
        <x:v>46100</x:v>
      </x:c>
      <x:c r="C28" s="12">
        <x:f t="shared" si="0"/>
        <x:v>46100</x:v>
      </x:c>
      <x:c r="D28" s="9"/>
      <x:c r="E28" s="9"/>
      <x:c r="F28" s="65"/>
      <x:c r="G28" s="65"/>
      <x:c r="H28" s="65"/>
      <x:c r="I28" s="65"/>
      <x:c r="J28" s="65"/>
      <x:c r="K28" s="15"/>
      <x:c r="N28" s="46"/>
      <x:c r="O28" s="23" t="str">
        <x:f t="shared" si="1"/>
        <x:v>평</x:v>
      </x:c>
      <x:c r="P28" s="45" t="e">
        <x:f t="shared" si="2"/>
        <x:v>#N/A</x:v>
      </x:c>
      <x:c r="Y28" s="29" t="s">
        <x:v>1</x:v>
      </x:c>
      <x:c r="Z28" s="30" t="s">
        <x:v>62</x:v>
      </x:c>
      <x:c r="AA28" s="31" t="s">
        <x:v>48</x:v>
      </x:c>
      <x:c r="AB28" s="32">
        <x:v>1400</x:v>
      </x:c>
    </x:row>
    <x:row r="29" spans="2:28" ht="18.75" customHeight="1">
      <x:c r="B29" s="13">
        <x:f t="shared" si="3"/>
        <x:v>46101</x:v>
      </x:c>
      <x:c r="C29" s="12">
        <x:f t="shared" si="0"/>
        <x:v>46101</x:v>
      </x:c>
      <x:c r="D29" s="9"/>
      <x:c r="E29" s="9"/>
      <x:c r="F29" s="65"/>
      <x:c r="G29" s="65"/>
      <x:c r="H29" s="65"/>
      <x:c r="I29" s="65"/>
      <x:c r="J29" s="65"/>
      <x:c r="K29" s="15"/>
      <x:c r="N29" s="46"/>
      <x:c r="O29" s="23" t="str">
        <x:f t="shared" si="1"/>
        <x:v>평</x:v>
      </x:c>
      <x:c r="P29" s="45" t="e">
        <x:f t="shared" si="2"/>
        <x:v>#N/A</x:v>
      </x:c>
      <x:c r="Y29" s="29" t="s">
        <x:v>1</x:v>
      </x:c>
      <x:c r="Z29" s="30" t="s">
        <x:v>24</x:v>
      </x:c>
      <x:c r="AA29" s="31" t="s">
        <x:v>48</x:v>
      </x:c>
      <x:c r="AB29" s="32">
        <x:v>1400</x:v>
      </x:c>
    </x:row>
    <x:row r="30" spans="2:28" ht="18.75" customHeight="1">
      <x:c r="B30" s="13">
        <x:f t="shared" si="3"/>
        <x:v>46102</x:v>
      </x:c>
      <x:c r="C30" s="12">
        <x:f t="shared" si="0"/>
        <x:v>46102</x:v>
      </x:c>
      <x:c r="D30" s="9"/>
      <x:c r="E30" s="9"/>
      <x:c r="F30" s="65"/>
      <x:c r="G30" s="65"/>
      <x:c r="H30" s="65"/>
      <x:c r="I30" s="65"/>
      <x:c r="J30" s="65"/>
      <x:c r="K30" s="14"/>
      <x:c r="N30" s="46"/>
      <x:c r="O30" s="23" t="str">
        <x:f t="shared" si="1"/>
        <x:v>휴일</x:v>
      </x:c>
      <x:c r="P30" s="45" t="e">
        <x:f t="shared" si="2"/>
        <x:v>#N/A</x:v>
      </x:c>
      <x:c r="Y30" s="29" t="s">
        <x:v>1</x:v>
      </x:c>
      <x:c r="Z30" s="30" t="s">
        <x:v>20</x:v>
      </x:c>
      <x:c r="AA30" s="31" t="s">
        <x:v>38</x:v>
      </x:c>
      <x:c r="AB30" s="32">
        <x:v>2000</x:v>
      </x:c>
    </x:row>
    <x:row r="31" spans="2:28" ht="18.75" customHeight="1">
      <x:c r="B31" s="13">
        <x:f t="shared" si="3"/>
        <x:v>46103</x:v>
      </x:c>
      <x:c r="C31" s="12">
        <x:f t="shared" si="0"/>
        <x:v>46103</x:v>
      </x:c>
      <x:c r="D31" s="9"/>
      <x:c r="E31" s="9"/>
      <x:c r="F31" s="65"/>
      <x:c r="G31" s="65"/>
      <x:c r="H31" s="65"/>
      <x:c r="I31" s="65"/>
      <x:c r="J31" s="65"/>
      <x:c r="K31" s="15"/>
      <x:c r="N31" s="46"/>
      <x:c r="O31" s="23" t="str">
        <x:f t="shared" si="1"/>
        <x:v>휴일</x:v>
      </x:c>
      <x:c r="P31" s="45" t="e">
        <x:f t="shared" si="2"/>
        <x:v>#N/A</x:v>
      </x:c>
      <x:c r="Y31" s="29" t="s">
        <x:v>1</x:v>
      </x:c>
      <x:c r="Z31" s="30" t="s">
        <x:v>2</x:v>
      </x:c>
      <x:c r="AA31" s="31" t="s">
        <x:v>10</x:v>
      </x:c>
      <x:c r="AB31" s="32"/>
    </x:row>
    <x:row r="32" spans="2:28" ht="18.75" customHeight="1">
      <x:c r="B32" s="13">
        <x:f t="shared" si="3"/>
        <x:v>46104</x:v>
      </x:c>
      <x:c r="C32" s="12">
        <x:f t="shared" si="0"/>
        <x:v>46104</x:v>
      </x:c>
      <x:c r="D32" s="9">
        <x:f t="shared" ref="D32:D41" si="4">IF(P32=0,"",P32)</x:f>
        <x:v>900</x:v>
      </x:c>
      <x:c r="E32" s="9">
        <x:f t="shared" ref="E32:E40" si="5">IF(AND(OR(WEEKDAY($C32,1)=1,WEEKDAY($C32,1)=7,ISBLANK($K32)=FALSE),OR($D32=900,$D32=1000,$D32=1100)),SUM($D32+1100),IF(AND(OR(WEEKDAY($C32,1)=2,WEEKDAY($C32,1)=3,WEEKDAY($C32,1)=4,WEEKDAY($C32,1)=5,WEEKDAY($C32,1)=6),OR($D32=900,$D32=1000,$D32=1100)),SUM($D32+900),IF(AND(OR(WEEKDAY($C32,1)=2,WEEKDAY($C32,1)=3,WEEKDAY($C32,1)=4,WEEKDAY($C32,1)=5,WEEKDAY($C32,1)=6),OR($D32=1400)),2200,IF($D32=2000,"익일 09:00",""))))</x:f>
        <x:v>1800</x:v>
      </x:c>
      <x:c r="F32" s="65"/>
      <x:c r="G32" s="65"/>
      <x:c r="H32" s="65"/>
      <x:c r="I32" s="65"/>
      <x:c r="J32" s="65"/>
      <x:c r="K32" s="15"/>
      <x:c r="N32" s="54" t="s">
        <x:v>58</x:v>
      </x:c>
      <x:c r="O32" s="23" t="str">
        <x:f t="shared" si="1"/>
        <x:v>평</x:v>
      </x:c>
      <x:c r="P32" s="45">
        <x:f t="shared" si="2"/>
        <x:v>900</x:v>
      </x:c>
      <x:c r="Y32" s="29" t="s">
        <x:v>1</x:v>
      </x:c>
      <x:c r="Z32" s="30" t="s">
        <x:v>8</x:v>
      </x:c>
      <x:c r="AA32" s="31" t="s">
        <x:v>10</x:v>
      </x:c>
      <x:c r="AB32" s="32"/>
    </x:row>
    <x:row r="33" spans="2:28" ht="18.75" customHeight="1">
      <x:c r="B33" s="13">
        <x:f t="shared" si="3"/>
        <x:v>46105</x:v>
      </x:c>
      <x:c r="C33" s="12">
        <x:f t="shared" si="0"/>
        <x:v>46105</x:v>
      </x:c>
      <x:c r="D33" s="9">
        <x:f t="shared" si="4"/>
        <x:v>900</x:v>
      </x:c>
      <x:c r="E33" s="9">
        <x:f t="shared" si="5"/>
        <x:v>1800</x:v>
      </x:c>
      <x:c r="F33" s="65"/>
      <x:c r="G33" s="65"/>
      <x:c r="H33" s="65"/>
      <x:c r="I33" s="65" t="str">
        <x:f t="shared" ref="I33:J40" si="6">IF($D32=2000,"야퇴","")</x:f>
        <x:v/>
      </x:c>
      <x:c r="J33" s="65"/>
      <x:c r="K33" s="15"/>
      <x:c r="N33" s="55" t="s">
        <x:v>58</x:v>
      </x:c>
      <x:c r="O33" s="23" t="str">
        <x:f t="shared" si="1"/>
        <x:v>평</x:v>
      </x:c>
      <x:c r="P33" s="45">
        <x:f t="shared" si="2"/>
        <x:v>900</x:v>
      </x:c>
      <x:c r="Y33" s="29" t="s">
        <x:v>1</x:v>
      </x:c>
      <x:c r="Z33" s="30" t="s">
        <x:v>5</x:v>
      </x:c>
      <x:c r="AA33" s="31" t="s">
        <x:v>49</x:v>
      </x:c>
      <x:c r="AB33" s="32">
        <x:v>900</x:v>
      </x:c>
    </x:row>
    <x:row r="34" spans="2:28" ht="18.75" customHeight="1">
      <x:c r="B34" s="13">
        <x:f t="shared" si="3"/>
        <x:v>46106</x:v>
      </x:c>
      <x:c r="C34" s="12">
        <x:f t="shared" si="0"/>
        <x:v>46106</x:v>
      </x:c>
      <x:c r="D34" s="9">
        <x:f t="shared" si="4"/>
        <x:v>900</x:v>
      </x:c>
      <x:c r="E34" s="9">
        <x:f t="shared" si="5"/>
        <x:v>1800</x:v>
      </x:c>
      <x:c r="F34" s="65"/>
      <x:c r="G34" s="65"/>
      <x:c r="H34" s="65"/>
      <x:c r="I34" s="65" t="str">
        <x:f t="shared" si="6"/>
        <x:v/>
      </x:c>
      <x:c r="J34" s="65"/>
      <x:c r="K34" s="15"/>
      <x:c r="N34" s="55" t="s">
        <x:v>58</x:v>
      </x:c>
      <x:c r="O34" s="23" t="str">
        <x:f t="shared" si="1"/>
        <x:v>평</x:v>
      </x:c>
      <x:c r="P34" s="45">
        <x:f t="shared" si="2"/>
        <x:v>900</x:v>
      </x:c>
      <x:c r="Y34" s="29" t="s">
        <x:v>1</x:v>
      </x:c>
      <x:c r="Z34" s="46" t="s">
        <x:v>61</x:v>
      </x:c>
      <x:c r="AA34" s="31" t="s">
        <x:v>49</x:v>
      </x:c>
      <x:c r="AB34" s="32">
        <x:v>1000</x:v>
      </x:c>
    </x:row>
    <x:row r="35" spans="2:28" ht="18.75" customHeight="1">
      <x:c r="B35" s="13">
        <x:f t="shared" si="3"/>
        <x:v>46107</x:v>
      </x:c>
      <x:c r="C35" s="12">
        <x:f t="shared" si="0"/>
        <x:v>46107</x:v>
      </x:c>
      <x:c r="D35" s="9">
        <x:f t="shared" si="4"/>
        <x:v>900</x:v>
      </x:c>
      <x:c r="E35" s="9">
        <x:f t="shared" si="5"/>
        <x:v>1800</x:v>
      </x:c>
      <x:c r="F35" s="65"/>
      <x:c r="G35" s="65"/>
      <x:c r="H35" s="65"/>
      <x:c r="I35" s="65" t="str">
        <x:f t="shared" si="6"/>
        <x:v/>
      </x:c>
      <x:c r="J35" s="65"/>
      <x:c r="K35" s="15"/>
      <x:c r="N35" s="55" t="s">
        <x:v>58</x:v>
      </x:c>
      <x:c r="O35" s="23" t="str">
        <x:f t="shared" si="1"/>
        <x:v>평</x:v>
      </x:c>
      <x:c r="P35" s="45">
        <x:f t="shared" si="2"/>
        <x:v>900</x:v>
      </x:c>
      <x:c r="Y35" s="33" t="s">
        <x:v>17</x:v>
      </x:c>
      <x:c r="Z35" s="30" t="s">
        <x:v>58</x:v>
      </x:c>
      <x:c r="AA35" s="31" t="s">
        <x:v>43</x:v>
      </x:c>
      <x:c r="AB35" s="32">
        <x:v>900</x:v>
      </x:c>
    </x:row>
    <x:row r="36" spans="2:28" ht="18.75" customHeight="1">
      <x:c r="B36" s="13">
        <x:f t="shared" si="3"/>
        <x:v>46108</x:v>
      </x:c>
      <x:c r="C36" s="12">
        <x:f t="shared" si="0"/>
        <x:v>46108</x:v>
      </x:c>
      <x:c r="D36" s="9">
        <x:f t="shared" si="4"/>
        <x:v>900</x:v>
      </x:c>
      <x:c r="E36" s="9">
        <x:f t="shared" si="5"/>
        <x:v>1800</x:v>
      </x:c>
      <x:c r="F36" s="65"/>
      <x:c r="G36" s="65"/>
      <x:c r="H36" s="65"/>
      <x:c r="I36" s="65" t="str">
        <x:f t="shared" si="6"/>
        <x:v/>
      </x:c>
      <x:c r="J36" s="65"/>
      <x:c r="K36" s="15"/>
      <x:c r="N36" s="56" t="s">
        <x:v>58</x:v>
      </x:c>
      <x:c r="O36" s="23" t="str">
        <x:f t="shared" si="1"/>
        <x:v>평</x:v>
      </x:c>
      <x:c r="P36" s="45">
        <x:f t="shared" si="2"/>
        <x:v>900</x:v>
      </x:c>
      <x:c r="Y36" s="33" t="s">
        <x:v>17</x:v>
      </x:c>
      <x:c r="Z36" s="30" t="s">
        <x:v>62</x:v>
      </x:c>
      <x:c r="AA36" s="31" t="s">
        <x:v>34</x:v>
      </x:c>
      <x:c r="AB36" s="32">
        <x:v>1100</x:v>
      </x:c>
    </x:row>
    <x:row r="37" spans="2:28" ht="18.75" customHeight="1">
      <x:c r="B37" s="13">
        <x:f t="shared" si="3"/>
        <x:v>46109</x:v>
      </x:c>
      <x:c r="C37" s="12">
        <x:f t="shared" si="0"/>
        <x:v>46109</x:v>
      </x:c>
      <x:c r="D37" s="9" t="str">
        <x:f t="shared" si="4"/>
        <x:v/>
      </x:c>
      <x:c r="E37" s="9" t="str">
        <x:f t="shared" si="5"/>
        <x:v/>
      </x:c>
      <x:c r="F37" s="65"/>
      <x:c r="G37" s="65"/>
      <x:c r="H37" s="65"/>
      <x:c r="I37" s="65" t="str">
        <x:f t="shared" si="6"/>
        <x:v/>
      </x:c>
      <x:c r="J37" s="65"/>
      <x:c r="K37" s="15"/>
      <x:c r="N37" s="57" t="s">
        <x:v>14</x:v>
      </x:c>
      <x:c r="O37" s="23" t="str">
        <x:f t="shared" si="1"/>
        <x:v>휴일</x:v>
      </x:c>
      <x:c r="P37" s="45">
        <x:f t="shared" si="2"/>
        <x:v>0</x:v>
      </x:c>
      <x:c r="Y37" s="33" t="s">
        <x:v>17</x:v>
      </x:c>
      <x:c r="Z37" s="30" t="s">
        <x:v>5</x:v>
      </x:c>
      <x:c r="AA37" s="31" t="s">
        <x:v>43</x:v>
      </x:c>
      <x:c r="AB37" s="32">
        <x:v>900</x:v>
      </x:c>
    </x:row>
    <x:row r="38" spans="2:28" ht="18.75" customHeight="1">
      <x:c r="B38" s="13">
        <x:f t="shared" si="3"/>
        <x:v>46110</x:v>
      </x:c>
      <x:c r="C38" s="12">
        <x:f t="shared" si="0"/>
        <x:v>46110</x:v>
      </x:c>
      <x:c r="D38" s="9" t="str">
        <x:f t="shared" si="4"/>
        <x:v/>
      </x:c>
      <x:c r="E38" s="9" t="str">
        <x:f t="shared" si="5"/>
        <x:v/>
      </x:c>
      <x:c r="F38" s="65"/>
      <x:c r="G38" s="65"/>
      <x:c r="H38" s="65"/>
      <x:c r="I38" s="65" t="str">
        <x:f t="shared" si="6"/>
        <x:v/>
      </x:c>
      <x:c r="J38" s="65"/>
      <x:c r="K38" s="15"/>
      <x:c r="N38" s="57" t="s">
        <x:v>14</x:v>
      </x:c>
      <x:c r="O38" s="23" t="str">
        <x:f t="shared" si="1"/>
        <x:v>휴일</x:v>
      </x:c>
      <x:c r="P38" s="45">
        <x:f t="shared" si="2"/>
        <x:v>0</x:v>
      </x:c>
      <x:c r="Y38" s="33" t="s">
        <x:v>17</x:v>
      </x:c>
      <x:c r="Z38" s="30" t="s">
        <x:v>24</x:v>
      </x:c>
      <x:c r="AA38" s="31" t="s">
        <x:v>34</x:v>
      </x:c>
      <x:c r="AB38" s="32">
        <x:v>1100</x:v>
      </x:c>
    </x:row>
    <x:row r="39" spans="2:33" s="1" customFormat="1" ht="18.75" customHeight="1">
      <x:c r="B39" s="13">
        <x:f t="shared" si="3"/>
        <x:v>46111</x:v>
      </x:c>
      <x:c r="C39" s="12">
        <x:f t="shared" si="0"/>
        <x:v>46111</x:v>
      </x:c>
      <x:c r="D39" s="9">
        <x:f t="shared" si="4"/>
        <x:v>1100</x:v>
      </x:c>
      <x:c r="E39" s="9">
        <x:f t="shared" si="5"/>
        <x:v>2000</x:v>
      </x:c>
      <x:c r="F39" s="65"/>
      <x:c r="G39" s="65"/>
      <x:c r="H39" s="65"/>
      <x:c r="I39" s="65" t="str">
        <x:f t="shared" si="6"/>
        <x:v/>
      </x:c>
      <x:c r="J39" s="65"/>
      <x:c r="K39" s="15"/>
      <x:c r="N39" s="55">
        <x:v>11</x:v>
      </x:c>
      <x:c r="O39" s="23" t="str">
        <x:f t="shared" si="1"/>
        <x:v>평</x:v>
      </x:c>
      <x:c r="P39" s="45">
        <x:f t="shared" si="2"/>
        <x:v>1100</x:v>
      </x:c>
      <x:c r="T39" s="2"/>
      <x:c r="W39" s="2"/>
      <x:c r="X39" s="16"/>
      <x:c r="Y39" s="33" t="s">
        <x:v>17</x:v>
      </x:c>
      <x:c r="Z39" s="30" t="s">
        <x:v>20</x:v>
      </x:c>
      <x:c r="AA39" s="31" t="s">
        <x:v>38</x:v>
      </x:c>
      <x:c r="AB39" s="32">
        <x:v>2000</x:v>
      </x:c>
      <x:c r="AC39" s="17"/>
      <x:c r="AE39" s="17"/>
      <x:c r="AF39" s="17"/>
      <x:c r="AG39" s="18"/>
    </x:row>
    <x:row r="40" spans="2:28" ht="18.75" customHeight="1">
      <x:c r="B40" s="13">
        <x:f t="shared" si="3"/>
        <x:v>46112</x:v>
      </x:c>
      <x:c r="C40" s="12">
        <x:f t="shared" si="0"/>
        <x:v>46112</x:v>
      </x:c>
      <x:c r="D40" s="9">
        <x:f t="shared" si="4"/>
        <x:v>1100</x:v>
      </x:c>
      <x:c r="E40" s="9">
        <x:f t="shared" si="5"/>
        <x:v>2000</x:v>
      </x:c>
      <x:c r="F40" s="65"/>
      <x:c r="G40" s="65"/>
      <x:c r="H40" s="65"/>
      <x:c r="I40" s="65" t="str">
        <x:f t="shared" si="6"/>
        <x:v/>
      </x:c>
      <x:c r="J40" s="65"/>
      <x:c r="K40" s="15"/>
      <x:c r="N40" s="58">
        <x:v>11</x:v>
      </x:c>
      <x:c r="O40" s="23" t="str">
        <x:f t="shared" si="1"/>
        <x:v>평</x:v>
      </x:c>
      <x:c r="P40" s="45">
        <x:f t="shared" si="2"/>
        <x:v>1100</x:v>
      </x:c>
      <x:c r="Y40" s="33" t="s">
        <x:v>17</x:v>
      </x:c>
      <x:c r="Z40" s="30" t="s">
        <x:v>2</x:v>
      </x:c>
      <x:c r="AA40" s="31" t="s">
        <x:v>10</x:v>
      </x:c>
      <x:c r="AB40" s="32"/>
    </x:row>
    <x:row r="41" spans="2:28" ht="18.649999999999999">
      <x:c r="B41" s="110" t="s">
        <x:v>73</x:v>
      </x:c>
      <x:c r="C41" s="111"/>
      <x:c r="D41" s="10" t="str">
        <x:f t="shared" si="4"/>
        <x:v/>
      </x:c>
      <x:c r="E41" s="10"/>
      <x:c r="F41" s="112"/>
      <x:c r="G41" s="112"/>
      <x:c r="H41" s="112"/>
      <x:c r="I41" s="113"/>
      <x:c r="J41" s="111"/>
      <x:c r="K41" s="11"/>
      <x:c r="Y41" s="33" t="s">
        <x:v>17</x:v>
      </x:c>
      <x:c r="Z41" s="30" t="s">
        <x:v>8</x:v>
      </x:c>
      <x:c r="AA41" s="31" t="s">
        <x:v>10</x:v>
      </x:c>
      <x:c r="AB41" s="32"/>
    </x:row>
    <x:row r="42" spans="25:28" ht="19">
      <x:c r="Y42" s="34" t="s">
        <x:v>17</x:v>
      </x:c>
      <x:c r="Z42" s="35" t="s">
        <x:v>14</x:v>
      </x:c>
      <x:c r="AA42" s="36" t="s">
        <x:v>10</x:v>
      </x:c>
      <x:c r="AB42" s="37"/>
    </x:row>
    <x:row r="45" spans="11:12">
      <x:c r="K45" s="109"/>
      <x:c r="L45" s="109"/>
    </x:row>
  </x:sheetData>
  <x:mergeCells count="86">
    <x:mergeCell ref="N4:O4"/>
    <x:mergeCell ref="N5:O5"/>
    <x:mergeCell ref="N6:O6"/>
    <x:mergeCell ref="I40:J40"/>
    <x:mergeCell ref="I13:J13"/>
    <x:mergeCell ref="I33:J33"/>
    <x:mergeCell ref="I34:J34"/>
    <x:mergeCell ref="I35:J35"/>
    <x:mergeCell ref="I36:J36"/>
    <x:mergeCell ref="I37:J37"/>
    <x:mergeCell ref="I28:J28"/>
    <x:mergeCell ref="I29:J29"/>
    <x:mergeCell ref="I30:J30"/>
    <x:mergeCell ref="I31:J31"/>
    <x:mergeCell ref="I32:J32"/>
    <x:mergeCell ref="F30:H30"/>
    <x:mergeCell ref="I12:J12"/>
    <x:mergeCell ref="I14:J14"/>
    <x:mergeCell ref="I15:J15"/>
    <x:mergeCell ref="I16:J16"/>
    <x:mergeCell ref="I17:J17"/>
    <x:mergeCell ref="I18:J18"/>
    <x:mergeCell ref="I19:J19"/>
    <x:mergeCell ref="I20:J20"/>
    <x:mergeCell ref="I21:J21"/>
    <x:mergeCell ref="I22:J22"/>
    <x:mergeCell ref="I23:J23"/>
    <x:mergeCell ref="I24:J24"/>
    <x:mergeCell ref="I25:J25"/>
    <x:mergeCell ref="I26:J26"/>
    <x:mergeCell ref="I27:J27"/>
    <x:mergeCell ref="B2:K2"/>
    <x:mergeCell ref="B4:C4"/>
    <x:mergeCell ref="D4:E4"/>
    <x:mergeCell ref="G4:G6"/>
    <x:mergeCell ref="H4:I4"/>
    <x:mergeCell ref="B5:C5"/>
    <x:mergeCell ref="D5:E5"/>
    <x:mergeCell ref="H5:I6"/>
    <x:mergeCell ref="J5:J6"/>
    <x:mergeCell ref="K5:K6"/>
    <x:mergeCell ref="B6:C6"/>
    <x:mergeCell ref="D6:E6"/>
    <x:mergeCell ref="B8:C9"/>
    <x:mergeCell ref="D8:E8"/>
    <x:mergeCell ref="F8:H9"/>
    <x:mergeCell ref="I8:J9"/>
    <x:mergeCell ref="K8:K9"/>
    <x:mergeCell ref="I10:J10"/>
    <x:mergeCell ref="I11:J11"/>
    <x:mergeCell ref="F11:H11"/>
    <x:mergeCell ref="F29:H29"/>
    <x:mergeCell ref="F26:H26"/>
    <x:mergeCell ref="F28:H28"/>
    <x:mergeCell ref="F21:H21"/>
    <x:mergeCell ref="F22:H22"/>
    <x:mergeCell ref="F23:H23"/>
    <x:mergeCell ref="F12:H12"/>
    <x:mergeCell ref="F13:H13"/>
    <x:mergeCell ref="F16:H16"/>
    <x:mergeCell ref="F17:H17"/>
    <x:mergeCell ref="F27:H27"/>
    <x:mergeCell ref="F24:H24"/>
    <x:mergeCell ref="F25:H25"/>
    <x:mergeCell ref="F19:H19"/>
    <x:mergeCell ref="F20:H20"/>
    <x:mergeCell ref="F18:H18"/>
    <x:mergeCell ref="F10:H10"/>
    <x:mergeCell ref="F15:H15"/>
    <x:mergeCell ref="F14:H14"/>
    <x:mergeCell ref="F33:H33"/>
    <x:mergeCell ref="F35:H35"/>
    <x:mergeCell ref="F34:H34"/>
    <x:mergeCell ref="F31:H31"/>
    <x:mergeCell ref="F38:H38"/>
    <x:mergeCell ref="F32:H32"/>
    <x:mergeCell ref="F37:H37"/>
    <x:mergeCell ref="K45:L45"/>
    <x:mergeCell ref="B41:C41"/>
    <x:mergeCell ref="F41:H41"/>
    <x:mergeCell ref="I41:J41"/>
    <x:mergeCell ref="F36:H36"/>
    <x:mergeCell ref="F40:H40"/>
    <x:mergeCell ref="F39:H39"/>
    <x:mergeCell ref="I38:J38"/>
    <x:mergeCell ref="I39:J39"/>
  </x:mergeCells>
  <x:conditionalFormatting sqref="B10:K10 B11:J11 B12:K40">
    <x:cfRule type="expression" dxfId="12" priority="6">
      <x:formula>ISBLANK($K10)=FALSE</x:formula>
    </x:cfRule>
    <x:cfRule type="expression" dxfId="13" priority="5">
      <x:formula>WEEKDAY($C10,1)=1</x:formula>
    </x:cfRule>
    <x:cfRule type="expression" dxfId="14" priority="4">
      <x:formula>WEEKDAY($C10,1)=7</x:formula>
    </x:cfRule>
  </x:conditionalFormatting>
  <x:conditionalFormatting sqref="K11:K11">
    <x:cfRule type="expression" dxfId="12" priority="3">
      <x:formula>ISBLANK($K11)=FALSE</x:formula>
    </x:cfRule>
    <x:cfRule type="expression" dxfId="13" priority="2">
      <x:formula>WEEKDAY($C11,1)=1</x:formula>
    </x:cfRule>
    <x:cfRule type="expression" dxfId="13" priority="1">
      <x:formula>WEEKDAY($C11,1)=7</x:formula>
    </x:cfRule>
  </x:conditionalFormatting>
  <x:printOptions horizontalCentered="1" verticalCentered="1" headings="0" gridLines="0" gridLinesSet="1"/>
  <x:pageMargins left="0.35430556535720825" right="0.23597222566604614" top="0.47236111760139465" bottom="0.27541667222976685" header="0.31486111879348755" footer="0.23597222566604614"/>
  <x:pageSetup paperSize="9" scale="96" firstPageNumber="1" fitToWidth="1" fitToHeight="1" orientation="portrait" usePrinterDefaults="1" blackAndWhite="0" draft="0" useFirstPageNumber="0" horizontalDpi="300" verticalDpi="300" copies="1"/>
  <x:rowBreaks count="1" manualBreakCount="1">
    <x:brk id="40" min="0" max="1048575" man="1" pt="0"/>
  </x:row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출근 및 시간외 근무일지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HP01</cp:lastModifiedBy>
  <cp:revision>465</cp:revision>
  <cp:lastPrinted>2023-10-01T07:23:19.000</cp:lastPrinted>
  <dcterms:created xsi:type="dcterms:W3CDTF">2012-02-06T06:56:27.000</dcterms:created>
  <dcterms:modified xsi:type="dcterms:W3CDTF">2026-03-30T05:20:41.265</dcterms:modified>
  <cp:version>0906.0100.01</cp:version>
</cp:coreProperties>
</file>